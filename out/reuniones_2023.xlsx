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/>
  <mc:AlternateContent xmlns:mc="http://schemas.openxmlformats.org/markup-compatibility/2006">
    <mc:Choice Requires="x15">
      <x15ac:absPath xmlns:x15ac="http://schemas.microsoft.com/office/spreadsheetml/2010/11/ac" url="C:\Users\Admin\Desktop\agendaEdison\out\"/>
    </mc:Choice>
  </mc:AlternateContent>
  <xr:revisionPtr revIDLastSave="0" documentId="13_ncr:1_{6D0D8F15-BF83-4EE6-A075-207BB81FDA14}" xr6:coauthVersionLast="47" xr6:coauthVersionMax="47" xr10:uidLastSave="{00000000-0000-0000-0000-000000000000}"/>
  <bookViews>
    <workbookView xWindow="-108" yWindow="-108" windowWidth="41496" windowHeight="167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" l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l="1"/>
  <c r="A26" i="1" s="1"/>
  <c r="A27" i="1" s="1"/>
  <c r="A28" i="1" l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</calcChain>
</file>

<file path=xl/sharedStrings.xml><?xml version="1.0" encoding="utf-8"?>
<sst xmlns="http://schemas.openxmlformats.org/spreadsheetml/2006/main" count="287" uniqueCount="229">
  <si>
    <t>Fecha</t>
  </si>
  <si>
    <t>Hora</t>
  </si>
  <si>
    <t>Participantes</t>
  </si>
  <si>
    <t>Martes 10 Enero</t>
  </si>
  <si>
    <t>8:30 AM - 12:30 AM</t>
  </si>
  <si>
    <t>Lunes 16 Enero</t>
  </si>
  <si>
    <t>8:30 AM - 10:30 AM</t>
  </si>
  <si>
    <t>Segunda parte induccion.</t>
  </si>
  <si>
    <t>Martes 17 Enero</t>
  </si>
  <si>
    <t>Comité de Jefes - Induccion general</t>
  </si>
  <si>
    <t>Jueves 19 Enero</t>
  </si>
  <si>
    <t>11:00 AM</t>
  </si>
  <si>
    <t>Constantino Carvajal
Dario Botero - Luz Elena P - Edo.
CC Santa Fe</t>
  </si>
  <si>
    <t>Viernes 20 Enero</t>
  </si>
  <si>
    <t>7:30 AM</t>
  </si>
  <si>
    <t>Lunes 23 Enero</t>
  </si>
  <si>
    <t>11:00 AM - 11:40 AM</t>
  </si>
  <si>
    <t>Luz - Robert - Herman Topografo - Edo.
Plan subdivision Girardota.</t>
  </si>
  <si>
    <t>Martes 24 Enero</t>
  </si>
  <si>
    <t>7:30 AM - 8:00 AM</t>
  </si>
  <si>
    <t>Reconocimiento a transportadores.</t>
  </si>
  <si>
    <t>Miercoles 8 Febrero</t>
  </si>
  <si>
    <t>7:45 AM - 10:00 AM</t>
  </si>
  <si>
    <t>Viernes 17 Febrero</t>
  </si>
  <si>
    <t>7:30 AM - 9:45 AM</t>
  </si>
  <si>
    <t>Miercoles 22 Febrero</t>
  </si>
  <si>
    <t>7:30 AM - 10:00 AM</t>
  </si>
  <si>
    <t>Viernes 24 Febrero</t>
  </si>
  <si>
    <t>Martes 28 Febrero</t>
  </si>
  <si>
    <t>5:30 PM</t>
  </si>
  <si>
    <t>Miercoles 1 de Marzo</t>
  </si>
  <si>
    <t>10:00 AM - 11:30 AM</t>
  </si>
  <si>
    <t>Miercoles 8 Marzo</t>
  </si>
  <si>
    <t>4:00PM</t>
  </si>
  <si>
    <t>Jueves 9 de Marzo</t>
  </si>
  <si>
    <t>Sabado 11 Marzo</t>
  </si>
  <si>
    <t>9:00 AM - 12:30 PM</t>
  </si>
  <si>
    <t>Miercoles 15 Marzo</t>
  </si>
  <si>
    <t>7:30 AM - 9:30 AM</t>
  </si>
  <si>
    <t>Jueves 16 Marzo</t>
  </si>
  <si>
    <t>3:50 PM - 5:00 PM</t>
  </si>
  <si>
    <t>Viernes 17 de marzo</t>
  </si>
  <si>
    <t>7:30 AM - 11:00 AM</t>
  </si>
  <si>
    <t>Lunes 27 de marzo</t>
  </si>
  <si>
    <t>8:00 AM</t>
  </si>
  <si>
    <t>Miercoles 29 de marzo</t>
  </si>
  <si>
    <t>3:00 PM - 4:30 PM</t>
  </si>
  <si>
    <t>Viernes 31 de marzo</t>
  </si>
  <si>
    <t>Luz Elena - Edison</t>
  </si>
  <si>
    <t>Miercoles 5 Abril</t>
  </si>
  <si>
    <t>8:45 AM</t>
  </si>
  <si>
    <t>Miercoles 19 de abril</t>
  </si>
  <si>
    <t>1:00 PM - 6:00 PM</t>
  </si>
  <si>
    <t>Lunes 24 Abril</t>
  </si>
  <si>
    <t>10:30 AM - 12:30 PM</t>
  </si>
  <si>
    <t>12:30 AM - 1:30 PM</t>
  </si>
  <si>
    <t>Miercoles 26 Abril</t>
  </si>
  <si>
    <t>12:30 M</t>
  </si>
  <si>
    <t>Jueves 4 Mayo</t>
  </si>
  <si>
    <t>Viernes 5 Mayo</t>
  </si>
  <si>
    <t>8:00 AM - 11:00 AM</t>
  </si>
  <si>
    <t>Miercoles 10 Mayo</t>
  </si>
  <si>
    <t>Viernes 12 Mayo</t>
  </si>
  <si>
    <t>8:30 AM</t>
  </si>
  <si>
    <t>Planeacion y vuelta lote San Diego.</t>
  </si>
  <si>
    <t>Lunes 15 Mayo</t>
  </si>
  <si>
    <t>11:00 AM - 12:00 M</t>
  </si>
  <si>
    <t>Martes 16 Mayo</t>
  </si>
  <si>
    <t>Viernes 19 Mayo</t>
  </si>
  <si>
    <t>Martes 23 Mayo</t>
  </si>
  <si>
    <t>2:30 PM - 6:30 PM</t>
  </si>
  <si>
    <t>Viernes 16 Junio</t>
  </si>
  <si>
    <t>7:30 AM - 9:50 AM</t>
  </si>
  <si>
    <t>Lunes 26 Junio</t>
  </si>
  <si>
    <t>11:30 AM</t>
  </si>
  <si>
    <t>10:30 AM - 12:00 M</t>
  </si>
  <si>
    <t>Jueves 6 Julio</t>
  </si>
  <si>
    <t>Viernes 7 Julio</t>
  </si>
  <si>
    <t>3:30 PM</t>
  </si>
  <si>
    <t>Jueves 13 Julio</t>
  </si>
  <si>
    <t>3:00 PM</t>
  </si>
  <si>
    <t>Martes 18 Julio</t>
  </si>
  <si>
    <t>Viernes 28 Julio</t>
  </si>
  <si>
    <t>7:00 AM - 9:30 AM</t>
  </si>
  <si>
    <t>Jueves 17 Agosto</t>
  </si>
  <si>
    <t>Edison</t>
  </si>
  <si>
    <t>Viernes 18 Agosto</t>
  </si>
  <si>
    <t>4:30 PM -</t>
  </si>
  <si>
    <t>Jueves 24 Agosto</t>
  </si>
  <si>
    <t>Planeacion Girardota</t>
  </si>
  <si>
    <t>Viernes 25 Agosto</t>
  </si>
  <si>
    <t>10:00 AM</t>
  </si>
  <si>
    <t>Martes 29 Agosto</t>
  </si>
  <si>
    <t>Miercoles 30 Agosto</t>
  </si>
  <si>
    <t>12:00 - 1:45 PM</t>
  </si>
  <si>
    <t>Lunes 4 Septiembre</t>
  </si>
  <si>
    <t>Jueves 14 Septiembre</t>
  </si>
  <si>
    <t>4:30 PM</t>
  </si>
  <si>
    <t xml:space="preserve"> Elaboracion documento de venta o fusion</t>
  </si>
  <si>
    <t>Viernes 15 Septiembre</t>
  </si>
  <si>
    <t>Jueves 28 Septiembre</t>
  </si>
  <si>
    <t>4:30 PM - 6:00 PM</t>
  </si>
  <si>
    <t>Lunes 9 Octubre</t>
  </si>
  <si>
    <t>Domingo 15 Octubre</t>
  </si>
  <si>
    <t>Miercoles 18 Octubre</t>
  </si>
  <si>
    <t>5:30 PM - 6:30 PM</t>
  </si>
  <si>
    <t>Viernes 20 Octubre</t>
  </si>
  <si>
    <t>Lunes 23 Octubre</t>
  </si>
  <si>
    <t>Domingo 29 Octubre</t>
  </si>
  <si>
    <t>6:00 PM</t>
  </si>
  <si>
    <t>Plan venta acciones.</t>
  </si>
  <si>
    <t>Lunes 30 Octubre</t>
  </si>
  <si>
    <t>5:00 PM</t>
  </si>
  <si>
    <t>Miercoles 1 Noviembre</t>
  </si>
  <si>
    <t>8:00 AM - 12:00 M</t>
  </si>
  <si>
    <t>Perspectivas economicas 2024.</t>
  </si>
  <si>
    <t>Viernes 17 Noviembre</t>
  </si>
  <si>
    <t>Lunes 11 Diciembre</t>
  </si>
  <si>
    <t>12:00 M</t>
  </si>
  <si>
    <t>Lunes 18 Diciembre</t>
  </si>
  <si>
    <t>Miercoles 20 Diciembre</t>
  </si>
  <si>
    <t>9:00AM - 10:30 AM</t>
  </si>
  <si>
    <t>Jueves 21 Diciembre</t>
  </si>
  <si>
    <t>Junta Directiva Marzo en Productos El Caribe.</t>
  </si>
  <si>
    <t>Asamblea Productos El Caribe.</t>
  </si>
  <si>
    <t>Junta Directiva Productos El Caribe.</t>
  </si>
  <si>
    <t>GTH de Productos El Caribe, acceso a techos acuerdo.</t>
  </si>
  <si>
    <t>Seguimiento a resultados de Productos El Caribe con familia</t>
  </si>
  <si>
    <t>Junta Directiva Productos El Caribe</t>
  </si>
  <si>
    <t>Junta directiva Productos El Caribe.</t>
  </si>
  <si>
    <t>Preparar asamblea Inversiones Puerta Lopez.</t>
  </si>
  <si>
    <t>Asamblea Inversiones Puerta Lopez en Productos El Caribe.</t>
  </si>
  <si>
    <t>Contratistas - Anclajes techos Inversiones Puerta Lopez Productos El Caribe.</t>
  </si>
  <si>
    <t>Vision legal - Oportunidades en sociedad Inversiones Puerta Lopez.</t>
  </si>
  <si>
    <t>Temas Productos El Caribe e Inversiones Puerta Lopez.</t>
  </si>
  <si>
    <t>Preparacion reunion seguimiento Inversiones Puerta Lopez y familia.</t>
  </si>
  <si>
    <t>Seguimiento temas Inversiones Puerta Lopez.</t>
  </si>
  <si>
    <t>Reunion Inversiones Puerta Lopez solicitada por Uber Puerta.</t>
  </si>
  <si>
    <t>Revision documento Inversiones Puerta Lopez para venta de acciones.</t>
  </si>
  <si>
    <t>Seguimiento temas Productos El Caribe e Inversiones Puerta Lopez.</t>
  </si>
  <si>
    <t>Mall Laureles
Temas varios Girardota - Guayabal Inversiones Puerta Lopez.</t>
  </si>
  <si>
    <t>Planes Productos El Caribe e Inversiones Puerta Lopez 2024.</t>
  </si>
  <si>
    <t>Induccion con Andres Gerente General y Jhon Freddy.
Primera parte evaluacion acta.</t>
  </si>
  <si>
    <t>Seguimiento acta e induccion Gerente General Productos El Caribe y visita a planta.</t>
  </si>
  <si>
    <t>Seguimiento con Gerente General Productos El Caribe</t>
  </si>
  <si>
    <t>Seguimiento Gerente Generalral en Productos El Caribe</t>
  </si>
  <si>
    <t>Seguimiento Gerente General.</t>
  </si>
  <si>
    <t>Almuerzo con Gerente General Productos El Caribe y Freddy.</t>
  </si>
  <si>
    <t>Seguimiento a temas varios Gerente General Productos El Caribe.</t>
  </si>
  <si>
    <t>Almuerzo - reunion Andres Gerente General Productos El Caribe</t>
  </si>
  <si>
    <t>Cita Gerente General Productos El Caribe Seguimiento</t>
  </si>
  <si>
    <t>Salarios (Bono) Gerente General y equipo 2024.</t>
  </si>
  <si>
    <t>Seguimiento acta Gerente General Productos El Caribe
Firmas y revision actas y acordar orden del dia proxima Junta Directiva.</t>
  </si>
  <si>
    <t>Seguimiento temas Junta Directiva en Productos El Caribe.</t>
  </si>
  <si>
    <t>Seguimiento estrategia presidencia Junta Directiva, empalme con nuevo Gerente General - ventas.</t>
  </si>
  <si>
    <t>Revision estrategia ALMAGRAN con Gerente General y Junta Directiva.</t>
  </si>
  <si>
    <t>Junta Directiva Productos El Caribe en ALMAGRAN</t>
  </si>
  <si>
    <t>Reunion con Junta Directiva en Productos El Caribe y familia PL.</t>
  </si>
  <si>
    <t>Funciones presidente Junta Directiva - Alcance Gerente General.</t>
  </si>
  <si>
    <t>Dr. Luis Jorge Correa y Edison</t>
  </si>
  <si>
    <t>Junta del 49% - Reunion peparacion Asamblea Inversiones Puerta Lopez y varios.</t>
  </si>
  <si>
    <t>En Girardota con LUZ ELENA P (validar instalacion de avisos).</t>
  </si>
  <si>
    <t>8:00 AM - 11:45 AM</t>
  </si>
  <si>
    <t>Andres Gerente General, Jhon Freddy y Edison</t>
  </si>
  <si>
    <t>Andres Arango, Freddy y Edison.</t>
  </si>
  <si>
    <t>Constantino Carvajal, Dario Botero, Luz Elena P y Edison.</t>
  </si>
  <si>
    <t>Luz, Robert, Herman Topografo y Edison</t>
  </si>
  <si>
    <t>Alfonso, Jose Pablo y Edison.</t>
  </si>
  <si>
    <t>Andres y Edison</t>
  </si>
  <si>
    <t>Juan David, Hernan y Edison</t>
  </si>
  <si>
    <t>Dr. Gaviria y Edison</t>
  </si>
  <si>
    <t>Luz Elena y Edison</t>
  </si>
  <si>
    <t>Jhon Freddy Z, Andres Gerente General y Edison</t>
  </si>
  <si>
    <t>Nelson Villa, Andres Gerente General y Edison</t>
  </si>
  <si>
    <t>Felipe Gonzalez y Edison</t>
  </si>
  <si>
    <t>Luis Felipe Hoyos y Edison</t>
  </si>
  <si>
    <t>Juan Fernando Vasquez y Edison</t>
  </si>
  <si>
    <t>Carlos Ariza, Andres Gerente General y Edison.</t>
  </si>
  <si>
    <t>Juan Rafael y Edison</t>
  </si>
  <si>
    <t>Constantino, Dario Botero
Luz Elena y Edison</t>
  </si>
  <si>
    <t>Juan Fernando Gaviria y Edison.</t>
  </si>
  <si>
    <t>Mary Luz y Edison</t>
  </si>
  <si>
    <t>Andres Gerente General y Edison</t>
  </si>
  <si>
    <t>Dr. Juan Fernando Gaviria y Edison</t>
  </si>
  <si>
    <t>Alfonso, Johana, David, Gladys y Edison</t>
  </si>
  <si>
    <t>Andres Gerente General Productos El Caribe, Alfonso y Edison</t>
  </si>
  <si>
    <t>Alfonso, Luz Elena y Edison.</t>
  </si>
  <si>
    <t>Temas varios referentes a Productos El Caribe e Inversiones Puerta Lopez / respuestas a carta accionista.</t>
  </si>
  <si>
    <t>Andres, Luis Felipe Hoyos y Edison</t>
  </si>
  <si>
    <t>Visita planta PANDAPAN.</t>
  </si>
  <si>
    <t>Andres, Jhon Freddy Z. y Edison</t>
  </si>
  <si>
    <t>Mary Luz, Juan Rafael y Edison</t>
  </si>
  <si>
    <t>Viernes 21 Abril</t>
  </si>
  <si>
    <t>Junta Directiva resultados Marzo.</t>
  </si>
  <si>
    <t>Junta Directiva.</t>
  </si>
  <si>
    <t>Martes 18 Abril</t>
  </si>
  <si>
    <t>Reunion seguimiento Junta Directiva en Productos El Caribe.</t>
  </si>
  <si>
    <t>Accionistas.</t>
  </si>
  <si>
    <t>Tendencias benchmarking comercial.</t>
  </si>
  <si>
    <t>Radicacion subdivision lotes Girardota.</t>
  </si>
  <si>
    <t>Plan de accion inmuebles guayabal - Girardota.
Oportunidades tributarias para la sociedad Inversiones Puerta Lopez - vision legal.</t>
  </si>
  <si>
    <t>Cotizacion mantenimiento transformadores Productos El Caribe y F&amp;C.</t>
  </si>
  <si>
    <t>Temas varios planeacion estrategica y gerencia general Productos EL Caribe.</t>
  </si>
  <si>
    <t>1:00 PM - 2:00 PM</t>
  </si>
  <si>
    <t>Junta Directiva y Gerencia</t>
  </si>
  <si>
    <t>Evolucion venta Guayabal  - Girardota</t>
  </si>
  <si>
    <t>Junta del 49% y accionistas.</t>
  </si>
  <si>
    <t>Junta Directiva</t>
  </si>
  <si>
    <t>Seguimiento Gerente General Productos El Caribe</t>
  </si>
  <si>
    <t>9:30 AM - 12:30 M</t>
  </si>
  <si>
    <t>Jhon Jairo Chavarria y Edison</t>
  </si>
  <si>
    <t>Tema PAISAPAN PANDAPAN.</t>
  </si>
  <si>
    <t>Mary Luz, Hermanos PL.</t>
  </si>
  <si>
    <t xml:space="preserve">Junta Directiva </t>
  </si>
  <si>
    <t>10:30 AM - 11:30 AM</t>
  </si>
  <si>
    <t>Productos El Caribe Instalacion Transformador F&amp;C</t>
  </si>
  <si>
    <t>Proveedor y Edison</t>
  </si>
  <si>
    <t>Junta Directiva y accionistas</t>
  </si>
  <si>
    <t>Almuerzo y seguimiento varios Caribe.</t>
  </si>
  <si>
    <t>Junta Directiva Productos El Caribe de Octubre</t>
  </si>
  <si>
    <t>Almuerzo Hato Viejo Junta Directiva y Gerente General.</t>
  </si>
  <si>
    <t>Luis Felipe Hoyos, Leonidas, Andres y Edison</t>
  </si>
  <si>
    <t>Equipo directivo, gerente y Edison.</t>
  </si>
  <si>
    <t>Transportadores, equipo directivo, gerente y Edison.</t>
  </si>
  <si>
    <t>Gerente General y Edison</t>
  </si>
  <si>
    <t xml:space="preserve">Andres y Edison </t>
  </si>
  <si>
    <t>Accionistas y Gerente General</t>
  </si>
  <si>
    <t>Miercoles 28 Junio</t>
  </si>
  <si>
    <t>Temas Tratados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</si>
</sst>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0" fontId="0" fillId="2" borderId="0" xfId="0" applyFill="1"/>
    <xf numFmtId="0" fontId="0" fillId="0" borderId="1" xfId="0" applyBorder="1" applyAlignment="1">
      <alignment wrapText="1"/>
    </xf>
    <xf numFmtId="18" fontId="0" fillId="0" borderId="1" xfId="0" quotePrefix="1" applyNumberForma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2"/>
  <sheetViews>
    <sheetView tabSelected="1" workbookViewId="0">
      <selection activeCell="G8" sqref="G8"/>
    </sheetView>
  </sheetViews>
  <sheetFormatPr baseColWidth="10" defaultColWidth="8.88671875" defaultRowHeight="14.4" x14ac:dyDescent="0.3"/>
  <cols>
    <col min="2" max="2" width="20.21875" bestFit="1" customWidth="1"/>
    <col min="3" max="3" width="18.21875" bestFit="1" customWidth="1"/>
    <col min="4" max="4" width="51.5546875" bestFit="1" customWidth="1"/>
    <col min="5" max="5" width="89.5546875" bestFit="1" customWidth="1"/>
  </cols>
  <sheetData>
    <row r="1" spans="1:5" x14ac:dyDescent="0.3">
      <c r="B1" s="1" t="s">
        <v>0</v>
      </c>
      <c r="C1" s="1" t="s">
        <v>1</v>
      </c>
      <c r="D1" s="1" t="s">
        <v>2</v>
      </c>
      <c r="E1" s="1" t="s">
        <v>228</v>
      </c>
    </row>
    <row r="2" spans="1:5" ht="28.8" x14ac:dyDescent="0.3">
      <c r="A2" s="1">
        <v>1</v>
      </c>
      <c r="B2" s="2" t="s">
        <v>3</v>
      </c>
      <c r="C2" s="2" t="s">
        <v>4</v>
      </c>
      <c r="D2" s="2" t="s">
        <v>163</v>
      </c>
      <c r="E2" s="4" t="s">
        <v>142</v>
      </c>
    </row>
    <row r="3" spans="1:5" x14ac:dyDescent="0.3">
      <c r="A3" s="1">
        <f>A2+1</f>
        <v>2</v>
      </c>
      <c r="B3" s="2" t="s">
        <v>5</v>
      </c>
      <c r="C3" s="2" t="s">
        <v>6</v>
      </c>
      <c r="D3" s="2" t="s">
        <v>164</v>
      </c>
      <c r="E3" s="2" t="s">
        <v>7</v>
      </c>
    </row>
    <row r="4" spans="1:5" x14ac:dyDescent="0.3">
      <c r="A4" s="1">
        <f t="shared" ref="A4:A24" si="0">A3+1</f>
        <v>3</v>
      </c>
      <c r="B4" s="2" t="s">
        <v>8</v>
      </c>
      <c r="C4" s="2" t="s">
        <v>6</v>
      </c>
      <c r="D4" s="2" t="s">
        <v>222</v>
      </c>
      <c r="E4" s="2" t="s">
        <v>9</v>
      </c>
    </row>
    <row r="5" spans="1:5" x14ac:dyDescent="0.3">
      <c r="A5" s="1">
        <f t="shared" si="0"/>
        <v>4</v>
      </c>
      <c r="B5" s="2" t="s">
        <v>10</v>
      </c>
      <c r="C5" s="2" t="s">
        <v>11</v>
      </c>
      <c r="D5" s="4" t="s">
        <v>165</v>
      </c>
      <c r="E5" s="2" t="s">
        <v>12</v>
      </c>
    </row>
    <row r="6" spans="1:5" x14ac:dyDescent="0.3">
      <c r="A6" s="1">
        <f t="shared" si="0"/>
        <v>5</v>
      </c>
      <c r="B6" s="2" t="s">
        <v>13</v>
      </c>
      <c r="C6" s="2" t="s">
        <v>14</v>
      </c>
      <c r="D6" s="2" t="s">
        <v>207</v>
      </c>
      <c r="E6" s="2" t="s">
        <v>128</v>
      </c>
    </row>
    <row r="7" spans="1:5" x14ac:dyDescent="0.3">
      <c r="A7" s="1">
        <f t="shared" si="0"/>
        <v>6</v>
      </c>
      <c r="B7" s="2" t="s">
        <v>15</v>
      </c>
      <c r="C7" s="2" t="s">
        <v>16</v>
      </c>
      <c r="D7" s="2" t="s">
        <v>166</v>
      </c>
      <c r="E7" s="2" t="s">
        <v>17</v>
      </c>
    </row>
    <row r="8" spans="1:5" x14ac:dyDescent="0.3">
      <c r="A8" s="1">
        <f t="shared" si="0"/>
        <v>7</v>
      </c>
      <c r="B8" s="2" t="s">
        <v>18</v>
      </c>
      <c r="C8" s="2" t="s">
        <v>19</v>
      </c>
      <c r="D8" s="2" t="s">
        <v>223</v>
      </c>
      <c r="E8" s="2" t="s">
        <v>20</v>
      </c>
    </row>
    <row r="9" spans="1:5" ht="28.8" x14ac:dyDescent="0.3">
      <c r="A9" s="1">
        <f t="shared" si="0"/>
        <v>8</v>
      </c>
      <c r="B9" s="2" t="s">
        <v>21</v>
      </c>
      <c r="C9" s="2" t="s">
        <v>22</v>
      </c>
      <c r="D9" s="2" t="s">
        <v>224</v>
      </c>
      <c r="E9" s="4" t="s">
        <v>152</v>
      </c>
    </row>
    <row r="10" spans="1:5" x14ac:dyDescent="0.3">
      <c r="A10" s="1">
        <f t="shared" si="0"/>
        <v>9</v>
      </c>
      <c r="B10" s="2" t="s">
        <v>23</v>
      </c>
      <c r="C10" s="2" t="s">
        <v>24</v>
      </c>
      <c r="D10" s="2" t="s">
        <v>207</v>
      </c>
      <c r="E10" s="2" t="s">
        <v>128</v>
      </c>
    </row>
    <row r="11" spans="1:5" x14ac:dyDescent="0.3">
      <c r="A11" s="1">
        <f t="shared" si="0"/>
        <v>10</v>
      </c>
      <c r="B11" s="2" t="s">
        <v>25</v>
      </c>
      <c r="C11" s="2" t="s">
        <v>26</v>
      </c>
      <c r="D11" s="2" t="s">
        <v>224</v>
      </c>
      <c r="E11" s="2" t="s">
        <v>143</v>
      </c>
    </row>
    <row r="12" spans="1:5" s="3" customFormat="1" x14ac:dyDescent="0.3">
      <c r="A12" s="1">
        <f t="shared" si="0"/>
        <v>11</v>
      </c>
      <c r="B12" s="2" t="s">
        <v>27</v>
      </c>
      <c r="C12" s="2" t="s">
        <v>11</v>
      </c>
      <c r="D12" s="2" t="s">
        <v>159</v>
      </c>
      <c r="E12" s="2" t="s">
        <v>158</v>
      </c>
    </row>
    <row r="13" spans="1:5" x14ac:dyDescent="0.3">
      <c r="A13" s="1">
        <f t="shared" si="0"/>
        <v>12</v>
      </c>
      <c r="B13" s="2" t="s">
        <v>28</v>
      </c>
      <c r="C13" s="2" t="s">
        <v>29</v>
      </c>
      <c r="D13" s="2" t="s">
        <v>167</v>
      </c>
      <c r="E13" s="2" t="s">
        <v>153</v>
      </c>
    </row>
    <row r="14" spans="1:5" x14ac:dyDescent="0.3">
      <c r="A14" s="1">
        <f t="shared" si="0"/>
        <v>13</v>
      </c>
      <c r="B14" s="2" t="s">
        <v>30</v>
      </c>
      <c r="C14" s="2" t="s">
        <v>31</v>
      </c>
      <c r="D14" s="2" t="s">
        <v>168</v>
      </c>
      <c r="E14" s="2" t="s">
        <v>144</v>
      </c>
    </row>
    <row r="15" spans="1:5" x14ac:dyDescent="0.3">
      <c r="A15" s="1">
        <f t="shared" si="0"/>
        <v>14</v>
      </c>
      <c r="B15" s="2" t="s">
        <v>32</v>
      </c>
      <c r="C15" s="2" t="s">
        <v>33</v>
      </c>
      <c r="D15" s="2" t="s">
        <v>169</v>
      </c>
      <c r="E15" s="2" t="s">
        <v>130</v>
      </c>
    </row>
    <row r="16" spans="1:5" x14ac:dyDescent="0.3">
      <c r="A16" s="1">
        <f t="shared" si="0"/>
        <v>15</v>
      </c>
      <c r="B16" s="2" t="s">
        <v>34</v>
      </c>
      <c r="C16" s="2" t="s">
        <v>29</v>
      </c>
      <c r="D16" s="2" t="s">
        <v>206</v>
      </c>
      <c r="E16" s="2" t="s">
        <v>160</v>
      </c>
    </row>
    <row r="17" spans="1:5" x14ac:dyDescent="0.3">
      <c r="A17" s="1">
        <f t="shared" si="0"/>
        <v>16</v>
      </c>
      <c r="B17" s="2" t="s">
        <v>35</v>
      </c>
      <c r="C17" s="2" t="s">
        <v>36</v>
      </c>
      <c r="D17" s="2" t="s">
        <v>197</v>
      </c>
      <c r="E17" s="2" t="s">
        <v>131</v>
      </c>
    </row>
    <row r="18" spans="1:5" x14ac:dyDescent="0.3">
      <c r="A18" s="1">
        <f t="shared" si="0"/>
        <v>17</v>
      </c>
      <c r="B18" s="2" t="s">
        <v>37</v>
      </c>
      <c r="C18" s="2" t="s">
        <v>38</v>
      </c>
      <c r="D18" s="2" t="s">
        <v>168</v>
      </c>
      <c r="E18" s="2" t="s">
        <v>145</v>
      </c>
    </row>
    <row r="19" spans="1:5" x14ac:dyDescent="0.3">
      <c r="A19" s="1">
        <f t="shared" si="0"/>
        <v>18</v>
      </c>
      <c r="B19" s="2" t="s">
        <v>39</v>
      </c>
      <c r="C19" s="2" t="s">
        <v>40</v>
      </c>
      <c r="D19" s="2" t="s">
        <v>170</v>
      </c>
      <c r="E19" s="2" t="s">
        <v>154</v>
      </c>
    </row>
    <row r="20" spans="1:5" x14ac:dyDescent="0.3">
      <c r="A20" s="1">
        <f t="shared" si="0"/>
        <v>19</v>
      </c>
      <c r="B20" s="2" t="s">
        <v>41</v>
      </c>
      <c r="C20" s="2" t="s">
        <v>42</v>
      </c>
      <c r="D20" s="2" t="s">
        <v>207</v>
      </c>
      <c r="E20" s="2" t="s">
        <v>123</v>
      </c>
    </row>
    <row r="21" spans="1:5" x14ac:dyDescent="0.3">
      <c r="A21" s="1">
        <f t="shared" si="0"/>
        <v>20</v>
      </c>
      <c r="B21" s="2" t="s">
        <v>43</v>
      </c>
      <c r="C21" s="2" t="s">
        <v>44</v>
      </c>
      <c r="D21" s="2" t="s">
        <v>225</v>
      </c>
      <c r="E21" s="2" t="s">
        <v>146</v>
      </c>
    </row>
    <row r="22" spans="1:5" x14ac:dyDescent="0.3">
      <c r="A22" s="1">
        <f t="shared" si="0"/>
        <v>21</v>
      </c>
      <c r="B22" s="2" t="s">
        <v>45</v>
      </c>
      <c r="C22" s="2" t="s">
        <v>46</v>
      </c>
      <c r="D22" s="2" t="s">
        <v>226</v>
      </c>
      <c r="E22" s="2" t="s">
        <v>124</v>
      </c>
    </row>
    <row r="23" spans="1:5" x14ac:dyDescent="0.3">
      <c r="A23" s="1">
        <f t="shared" si="0"/>
        <v>22</v>
      </c>
      <c r="B23" s="2" t="s">
        <v>47</v>
      </c>
      <c r="C23" s="2" t="s">
        <v>162</v>
      </c>
      <c r="D23" s="2" t="s">
        <v>171</v>
      </c>
      <c r="E23" s="2" t="s">
        <v>161</v>
      </c>
    </row>
    <row r="24" spans="1:5" x14ac:dyDescent="0.3">
      <c r="A24" s="1">
        <f t="shared" si="0"/>
        <v>23</v>
      </c>
      <c r="B24" s="2" t="s">
        <v>49</v>
      </c>
      <c r="C24" s="5" t="s">
        <v>50</v>
      </c>
      <c r="D24" s="2" t="s">
        <v>48</v>
      </c>
      <c r="E24" s="2" t="s">
        <v>132</v>
      </c>
    </row>
    <row r="25" spans="1:5" s="3" customFormat="1" x14ac:dyDescent="0.3">
      <c r="A25" s="1">
        <f>A24+1</f>
        <v>24</v>
      </c>
      <c r="B25" s="2" t="s">
        <v>195</v>
      </c>
      <c r="C25" s="2" t="s">
        <v>105</v>
      </c>
      <c r="D25" s="2" t="s">
        <v>197</v>
      </c>
      <c r="E25" s="2" t="s">
        <v>196</v>
      </c>
    </row>
    <row r="26" spans="1:5" s="3" customFormat="1" x14ac:dyDescent="0.3">
      <c r="A26" s="1">
        <f t="shared" ref="A26:A27" si="1">A25+1</f>
        <v>25</v>
      </c>
      <c r="B26" s="5" t="s">
        <v>51</v>
      </c>
      <c r="C26" s="5" t="s">
        <v>11</v>
      </c>
      <c r="D26" s="5" t="s">
        <v>188</v>
      </c>
      <c r="E26" s="5" t="s">
        <v>187</v>
      </c>
    </row>
    <row r="27" spans="1:5" s="3" customFormat="1" x14ac:dyDescent="0.3">
      <c r="A27" s="1">
        <f t="shared" si="1"/>
        <v>26</v>
      </c>
      <c r="B27" s="5" t="s">
        <v>51</v>
      </c>
      <c r="C27" s="5" t="s">
        <v>52</v>
      </c>
      <c r="D27" s="5" t="s">
        <v>188</v>
      </c>
      <c r="E27" s="5" t="s">
        <v>189</v>
      </c>
    </row>
    <row r="28" spans="1:5" s="3" customFormat="1" x14ac:dyDescent="0.3">
      <c r="A28" s="1">
        <f t="shared" ref="A28:A72" si="2">A27+1</f>
        <v>27</v>
      </c>
      <c r="B28" s="2" t="s">
        <v>192</v>
      </c>
      <c r="C28" s="2" t="s">
        <v>14</v>
      </c>
      <c r="D28" s="2" t="s">
        <v>194</v>
      </c>
      <c r="E28" s="2" t="s">
        <v>193</v>
      </c>
    </row>
    <row r="29" spans="1:5" x14ac:dyDescent="0.3">
      <c r="A29" s="1">
        <f t="shared" si="2"/>
        <v>28</v>
      </c>
      <c r="B29" s="2" t="s">
        <v>53</v>
      </c>
      <c r="C29" s="2" t="s">
        <v>54</v>
      </c>
      <c r="D29" s="2" t="s">
        <v>190</v>
      </c>
      <c r="E29" s="2" t="s">
        <v>146</v>
      </c>
    </row>
    <row r="30" spans="1:5" x14ac:dyDescent="0.3">
      <c r="A30" s="1">
        <f t="shared" si="2"/>
        <v>29</v>
      </c>
      <c r="B30" s="2" t="s">
        <v>53</v>
      </c>
      <c r="C30" s="2" t="s">
        <v>55</v>
      </c>
      <c r="D30" s="2" t="s">
        <v>172</v>
      </c>
      <c r="E30" s="2" t="s">
        <v>147</v>
      </c>
    </row>
    <row r="31" spans="1:5" ht="28.8" x14ac:dyDescent="0.3">
      <c r="A31" s="1">
        <f t="shared" si="2"/>
        <v>30</v>
      </c>
      <c r="B31" s="2" t="s">
        <v>56</v>
      </c>
      <c r="C31" s="2" t="s">
        <v>57</v>
      </c>
      <c r="D31" s="2" t="s">
        <v>191</v>
      </c>
      <c r="E31" s="4" t="s">
        <v>200</v>
      </c>
    </row>
    <row r="32" spans="1:5" s="3" customFormat="1" x14ac:dyDescent="0.3">
      <c r="A32" s="1">
        <f t="shared" si="2"/>
        <v>31</v>
      </c>
      <c r="B32" s="2" t="s">
        <v>58</v>
      </c>
      <c r="C32" s="2"/>
      <c r="D32" s="2" t="s">
        <v>173</v>
      </c>
      <c r="E32" s="2" t="s">
        <v>198</v>
      </c>
    </row>
    <row r="33" spans="1:5" x14ac:dyDescent="0.3">
      <c r="A33" s="1">
        <f t="shared" si="2"/>
        <v>32</v>
      </c>
      <c r="B33" s="2" t="s">
        <v>59</v>
      </c>
      <c r="C33" s="2" t="s">
        <v>60</v>
      </c>
      <c r="D33" s="2" t="s">
        <v>171</v>
      </c>
      <c r="E33" s="2" t="s">
        <v>199</v>
      </c>
    </row>
    <row r="34" spans="1:5" s="3" customFormat="1" x14ac:dyDescent="0.3">
      <c r="A34" s="1">
        <f t="shared" si="2"/>
        <v>33</v>
      </c>
      <c r="B34" s="2" t="s">
        <v>61</v>
      </c>
      <c r="C34" s="2" t="s">
        <v>11</v>
      </c>
      <c r="D34" s="2" t="s">
        <v>174</v>
      </c>
      <c r="E34" s="2" t="s">
        <v>201</v>
      </c>
    </row>
    <row r="35" spans="1:5" x14ac:dyDescent="0.3">
      <c r="A35" s="1">
        <f t="shared" si="2"/>
        <v>34</v>
      </c>
      <c r="B35" s="2" t="s">
        <v>62</v>
      </c>
      <c r="C35" s="2" t="s">
        <v>63</v>
      </c>
      <c r="D35" s="2" t="s">
        <v>171</v>
      </c>
      <c r="E35" s="2" t="s">
        <v>64</v>
      </c>
    </row>
    <row r="36" spans="1:5" x14ac:dyDescent="0.3">
      <c r="A36" s="1">
        <f t="shared" si="2"/>
        <v>35</v>
      </c>
      <c r="B36" s="2" t="s">
        <v>65</v>
      </c>
      <c r="C36" s="2" t="s">
        <v>66</v>
      </c>
      <c r="D36" s="2" t="s">
        <v>175</v>
      </c>
      <c r="E36" s="2" t="s">
        <v>202</v>
      </c>
    </row>
    <row r="37" spans="1:5" s="3" customFormat="1" x14ac:dyDescent="0.3">
      <c r="A37" s="1">
        <f t="shared" si="2"/>
        <v>36</v>
      </c>
      <c r="B37" s="2" t="s">
        <v>67</v>
      </c>
      <c r="C37" s="2" t="s">
        <v>203</v>
      </c>
      <c r="D37" s="2" t="s">
        <v>176</v>
      </c>
      <c r="E37" s="2" t="s">
        <v>202</v>
      </c>
    </row>
    <row r="38" spans="1:5" x14ac:dyDescent="0.3">
      <c r="A38" s="1">
        <f t="shared" si="2"/>
        <v>37</v>
      </c>
      <c r="B38" s="2" t="s">
        <v>68</v>
      </c>
      <c r="C38" s="2" t="s">
        <v>38</v>
      </c>
      <c r="D38" s="2" t="s">
        <v>194</v>
      </c>
      <c r="E38" s="2" t="s">
        <v>125</v>
      </c>
    </row>
    <row r="39" spans="1:5" x14ac:dyDescent="0.3">
      <c r="A39" s="1">
        <f t="shared" si="2"/>
        <v>38</v>
      </c>
      <c r="B39" s="2" t="s">
        <v>69</v>
      </c>
      <c r="C39" s="2" t="s">
        <v>70</v>
      </c>
      <c r="D39" s="2" t="s">
        <v>204</v>
      </c>
      <c r="E39" s="2" t="s">
        <v>155</v>
      </c>
    </row>
    <row r="40" spans="1:5" x14ac:dyDescent="0.3">
      <c r="A40" s="1">
        <f t="shared" si="2"/>
        <v>39</v>
      </c>
      <c r="B40" s="2" t="s">
        <v>71</v>
      </c>
      <c r="C40" s="2" t="s">
        <v>72</v>
      </c>
      <c r="D40" s="2" t="s">
        <v>194</v>
      </c>
      <c r="E40" s="2" t="s">
        <v>156</v>
      </c>
    </row>
    <row r="41" spans="1:5" s="3" customFormat="1" x14ac:dyDescent="0.3">
      <c r="A41" s="1">
        <f t="shared" si="2"/>
        <v>40</v>
      </c>
      <c r="B41" s="2" t="s">
        <v>73</v>
      </c>
      <c r="C41" s="2" t="s">
        <v>74</v>
      </c>
      <c r="D41" s="2" t="s">
        <v>177</v>
      </c>
      <c r="E41" s="2" t="s">
        <v>126</v>
      </c>
    </row>
    <row r="42" spans="1:5" x14ac:dyDescent="0.3">
      <c r="A42" s="1">
        <f t="shared" si="2"/>
        <v>41</v>
      </c>
      <c r="B42" s="2" t="s">
        <v>227</v>
      </c>
      <c r="C42" s="2" t="s">
        <v>75</v>
      </c>
      <c r="D42" s="2" t="s">
        <v>168</v>
      </c>
      <c r="E42" s="2" t="s">
        <v>148</v>
      </c>
    </row>
    <row r="43" spans="1:5" x14ac:dyDescent="0.3">
      <c r="A43" s="1">
        <f t="shared" si="2"/>
        <v>42</v>
      </c>
      <c r="B43" s="2" t="s">
        <v>76</v>
      </c>
      <c r="C43" s="2" t="s">
        <v>74</v>
      </c>
      <c r="D43" s="2" t="s">
        <v>178</v>
      </c>
      <c r="E43" s="2" t="s">
        <v>133</v>
      </c>
    </row>
    <row r="44" spans="1:5" ht="28.8" x14ac:dyDescent="0.3">
      <c r="A44" s="1">
        <f t="shared" si="2"/>
        <v>43</v>
      </c>
      <c r="B44" s="2" t="s">
        <v>77</v>
      </c>
      <c r="C44" s="2" t="s">
        <v>78</v>
      </c>
      <c r="D44" s="4" t="s">
        <v>179</v>
      </c>
      <c r="E44" s="2" t="s">
        <v>205</v>
      </c>
    </row>
    <row r="45" spans="1:5" x14ac:dyDescent="0.3">
      <c r="A45" s="1">
        <f t="shared" si="2"/>
        <v>44</v>
      </c>
      <c r="B45" s="2" t="s">
        <v>79</v>
      </c>
      <c r="C45" s="2" t="s">
        <v>80</v>
      </c>
      <c r="D45" s="2" t="s">
        <v>180</v>
      </c>
      <c r="E45" s="2" t="s">
        <v>134</v>
      </c>
    </row>
    <row r="46" spans="1:5" x14ac:dyDescent="0.3">
      <c r="A46" s="1">
        <f t="shared" si="2"/>
        <v>45</v>
      </c>
      <c r="B46" s="2" t="s">
        <v>81</v>
      </c>
      <c r="C46" s="2" t="s">
        <v>29</v>
      </c>
      <c r="D46" s="2" t="s">
        <v>206</v>
      </c>
      <c r="E46" s="2" t="s">
        <v>127</v>
      </c>
    </row>
    <row r="47" spans="1:5" x14ac:dyDescent="0.3">
      <c r="A47" s="1">
        <f t="shared" si="2"/>
        <v>46</v>
      </c>
      <c r="B47" s="2" t="s">
        <v>82</v>
      </c>
      <c r="C47" s="2" t="s">
        <v>83</v>
      </c>
      <c r="D47" s="2" t="s">
        <v>207</v>
      </c>
      <c r="E47" s="2" t="s">
        <v>156</v>
      </c>
    </row>
    <row r="48" spans="1:5" x14ac:dyDescent="0.3">
      <c r="A48" s="1">
        <f t="shared" si="2"/>
        <v>47</v>
      </c>
      <c r="B48" s="2" t="s">
        <v>84</v>
      </c>
      <c r="C48" s="2" t="s">
        <v>75</v>
      </c>
      <c r="D48" s="2" t="s">
        <v>168</v>
      </c>
      <c r="E48" s="2" t="s">
        <v>208</v>
      </c>
    </row>
    <row r="49" spans="1:7" s="3" customFormat="1" x14ac:dyDescent="0.3">
      <c r="A49" s="1">
        <f t="shared" si="2"/>
        <v>48</v>
      </c>
      <c r="B49" s="2" t="s">
        <v>84</v>
      </c>
      <c r="C49" s="2" t="s">
        <v>87</v>
      </c>
      <c r="D49" s="2" t="s">
        <v>181</v>
      </c>
      <c r="E49" s="2" t="s">
        <v>135</v>
      </c>
    </row>
    <row r="50" spans="1:7" x14ac:dyDescent="0.3">
      <c r="A50" s="1">
        <f t="shared" si="2"/>
        <v>49</v>
      </c>
      <c r="B50" s="2" t="s">
        <v>86</v>
      </c>
      <c r="C50" s="2" t="s">
        <v>38</v>
      </c>
      <c r="D50" s="2" t="s">
        <v>194</v>
      </c>
      <c r="E50" s="2" t="s">
        <v>128</v>
      </c>
    </row>
    <row r="51" spans="1:7" x14ac:dyDescent="0.3">
      <c r="A51" s="1">
        <f t="shared" si="2"/>
        <v>50</v>
      </c>
      <c r="B51" s="2" t="s">
        <v>88</v>
      </c>
      <c r="C51" s="2" t="s">
        <v>209</v>
      </c>
      <c r="D51" s="2" t="s">
        <v>171</v>
      </c>
      <c r="E51" s="2" t="s">
        <v>89</v>
      </c>
    </row>
    <row r="52" spans="1:7" s="3" customFormat="1" x14ac:dyDescent="0.3">
      <c r="A52" s="1">
        <f t="shared" si="2"/>
        <v>51</v>
      </c>
      <c r="B52" s="2" t="s">
        <v>90</v>
      </c>
      <c r="C52" s="2" t="s">
        <v>91</v>
      </c>
      <c r="D52" s="2" t="s">
        <v>210</v>
      </c>
      <c r="E52" s="2" t="s">
        <v>211</v>
      </c>
    </row>
    <row r="53" spans="1:7" x14ac:dyDescent="0.3">
      <c r="A53" s="1">
        <f t="shared" si="2"/>
        <v>52</v>
      </c>
      <c r="B53" s="2" t="s">
        <v>92</v>
      </c>
      <c r="C53" s="2" t="s">
        <v>29</v>
      </c>
      <c r="D53" s="2" t="s">
        <v>212</v>
      </c>
      <c r="E53" s="2" t="s">
        <v>136</v>
      </c>
    </row>
    <row r="54" spans="1:7" x14ac:dyDescent="0.3">
      <c r="A54" s="1">
        <f t="shared" si="2"/>
        <v>53</v>
      </c>
      <c r="B54" s="2" t="s">
        <v>93</v>
      </c>
      <c r="C54" s="2" t="s">
        <v>94</v>
      </c>
      <c r="D54" s="2" t="s">
        <v>182</v>
      </c>
      <c r="E54" s="2" t="s">
        <v>149</v>
      </c>
    </row>
    <row r="55" spans="1:7" x14ac:dyDescent="0.3">
      <c r="A55" s="1">
        <f t="shared" si="2"/>
        <v>54</v>
      </c>
      <c r="B55" s="2" t="s">
        <v>95</v>
      </c>
      <c r="C55" s="2" t="s">
        <v>29</v>
      </c>
      <c r="D55" s="2" t="s">
        <v>197</v>
      </c>
      <c r="E55" s="2" t="s">
        <v>137</v>
      </c>
    </row>
    <row r="56" spans="1:7" x14ac:dyDescent="0.3">
      <c r="A56" s="1">
        <f t="shared" si="2"/>
        <v>55</v>
      </c>
      <c r="B56" s="2" t="s">
        <v>96</v>
      </c>
      <c r="C56" s="2" t="s">
        <v>97</v>
      </c>
      <c r="D56" s="2" t="s">
        <v>169</v>
      </c>
      <c r="E56" s="2" t="s">
        <v>98</v>
      </c>
    </row>
    <row r="57" spans="1:7" x14ac:dyDescent="0.3">
      <c r="A57" s="1">
        <f t="shared" si="2"/>
        <v>56</v>
      </c>
      <c r="B57" s="2" t="s">
        <v>99</v>
      </c>
      <c r="C57" s="2" t="s">
        <v>38</v>
      </c>
      <c r="D57" s="2" t="s">
        <v>213</v>
      </c>
      <c r="E57" s="2" t="s">
        <v>125</v>
      </c>
    </row>
    <row r="58" spans="1:7" x14ac:dyDescent="0.3">
      <c r="A58" s="1">
        <f t="shared" si="2"/>
        <v>57</v>
      </c>
      <c r="B58" s="2" t="s">
        <v>100</v>
      </c>
      <c r="C58" s="2" t="s">
        <v>101</v>
      </c>
      <c r="D58" s="2" t="s">
        <v>169</v>
      </c>
      <c r="E58" s="2" t="s">
        <v>138</v>
      </c>
    </row>
    <row r="59" spans="1:7" x14ac:dyDescent="0.3">
      <c r="A59" s="1">
        <f t="shared" si="2"/>
        <v>58</v>
      </c>
      <c r="B59" s="2" t="s">
        <v>102</v>
      </c>
      <c r="C59" s="2" t="s">
        <v>214</v>
      </c>
      <c r="D59" s="2" t="s">
        <v>168</v>
      </c>
      <c r="E59" s="2" t="s">
        <v>150</v>
      </c>
    </row>
    <row r="60" spans="1:7" s="3" customFormat="1" x14ac:dyDescent="0.3">
      <c r="A60" s="1">
        <f t="shared" si="2"/>
        <v>59</v>
      </c>
      <c r="B60" s="2" t="s">
        <v>103</v>
      </c>
      <c r="C60" s="2" t="s">
        <v>38</v>
      </c>
      <c r="D60" s="2" t="s">
        <v>216</v>
      </c>
      <c r="E60" s="2" t="s">
        <v>215</v>
      </c>
      <c r="F60"/>
      <c r="G60"/>
    </row>
    <row r="61" spans="1:7" x14ac:dyDescent="0.3">
      <c r="A61" s="1">
        <f t="shared" si="2"/>
        <v>60</v>
      </c>
      <c r="B61" s="2" t="s">
        <v>104</v>
      </c>
      <c r="C61" s="2" t="s">
        <v>105</v>
      </c>
      <c r="D61" s="2" t="s">
        <v>217</v>
      </c>
      <c r="E61" s="2" t="s">
        <v>157</v>
      </c>
    </row>
    <row r="62" spans="1:7" x14ac:dyDescent="0.3">
      <c r="A62" s="1">
        <f t="shared" si="2"/>
        <v>61</v>
      </c>
      <c r="B62" s="2" t="s">
        <v>106</v>
      </c>
      <c r="C62" s="2" t="s">
        <v>38</v>
      </c>
      <c r="D62" s="2" t="s">
        <v>207</v>
      </c>
      <c r="E62" s="2" t="s">
        <v>125</v>
      </c>
    </row>
    <row r="63" spans="1:7" x14ac:dyDescent="0.3">
      <c r="A63" s="1">
        <f t="shared" si="2"/>
        <v>62</v>
      </c>
      <c r="B63" s="2" t="s">
        <v>107</v>
      </c>
      <c r="C63" s="2" t="s">
        <v>46</v>
      </c>
      <c r="D63" s="2" t="s">
        <v>183</v>
      </c>
      <c r="E63" s="2" t="s">
        <v>139</v>
      </c>
    </row>
    <row r="64" spans="1:7" x14ac:dyDescent="0.3">
      <c r="A64" s="1">
        <f t="shared" si="2"/>
        <v>63</v>
      </c>
      <c r="B64" s="2" t="s">
        <v>108</v>
      </c>
      <c r="C64" s="2" t="s">
        <v>109</v>
      </c>
      <c r="D64" s="2" t="s">
        <v>184</v>
      </c>
      <c r="E64" s="2" t="s">
        <v>110</v>
      </c>
    </row>
    <row r="65" spans="1:7" s="3" customFormat="1" x14ac:dyDescent="0.3">
      <c r="A65" s="1">
        <f t="shared" si="2"/>
        <v>64</v>
      </c>
      <c r="B65" s="2" t="s">
        <v>111</v>
      </c>
      <c r="C65" s="2" t="s">
        <v>118</v>
      </c>
      <c r="D65" s="2" t="s">
        <v>185</v>
      </c>
      <c r="E65" s="2" t="s">
        <v>218</v>
      </c>
      <c r="F65"/>
      <c r="G65"/>
    </row>
    <row r="66" spans="1:7" ht="28.8" x14ac:dyDescent="0.3">
      <c r="A66" s="1">
        <f t="shared" si="2"/>
        <v>65</v>
      </c>
      <c r="B66" s="2" t="s">
        <v>111</v>
      </c>
      <c r="C66" s="2" t="s">
        <v>112</v>
      </c>
      <c r="D66" s="2" t="s">
        <v>186</v>
      </c>
      <c r="E66" s="4" t="s">
        <v>140</v>
      </c>
    </row>
    <row r="67" spans="1:7" x14ac:dyDescent="0.3">
      <c r="A67" s="1">
        <f t="shared" si="2"/>
        <v>66</v>
      </c>
      <c r="B67" s="2" t="s">
        <v>113</v>
      </c>
      <c r="C67" s="2" t="s">
        <v>114</v>
      </c>
      <c r="D67" s="2" t="s">
        <v>85</v>
      </c>
      <c r="E67" s="2" t="s">
        <v>115</v>
      </c>
    </row>
    <row r="68" spans="1:7" x14ac:dyDescent="0.3">
      <c r="A68" s="1">
        <f t="shared" si="2"/>
        <v>67</v>
      </c>
      <c r="B68" s="2" t="s">
        <v>116</v>
      </c>
      <c r="C68" s="2" t="s">
        <v>72</v>
      </c>
      <c r="D68" s="2" t="s">
        <v>207</v>
      </c>
      <c r="E68" s="2" t="s">
        <v>219</v>
      </c>
    </row>
    <row r="69" spans="1:7" x14ac:dyDescent="0.3">
      <c r="A69" s="1">
        <f t="shared" si="2"/>
        <v>68</v>
      </c>
      <c r="B69" s="2" t="s">
        <v>117</v>
      </c>
      <c r="C69" s="2" t="s">
        <v>118</v>
      </c>
      <c r="D69" s="2" t="s">
        <v>204</v>
      </c>
      <c r="E69" s="2" t="s">
        <v>220</v>
      </c>
    </row>
    <row r="70" spans="1:7" x14ac:dyDescent="0.3">
      <c r="A70" s="1">
        <f t="shared" si="2"/>
        <v>69</v>
      </c>
      <c r="B70" s="2" t="s">
        <v>119</v>
      </c>
      <c r="C70" s="2" t="s">
        <v>26</v>
      </c>
      <c r="D70" s="2" t="s">
        <v>207</v>
      </c>
      <c r="E70" s="2" t="s">
        <v>129</v>
      </c>
    </row>
    <row r="71" spans="1:7" x14ac:dyDescent="0.3">
      <c r="A71" s="1">
        <f t="shared" si="2"/>
        <v>70</v>
      </c>
      <c r="B71" s="2" t="s">
        <v>120</v>
      </c>
      <c r="C71" s="2" t="s">
        <v>121</v>
      </c>
      <c r="D71" s="2" t="s">
        <v>221</v>
      </c>
      <c r="E71" s="2" t="s">
        <v>151</v>
      </c>
    </row>
    <row r="72" spans="1:7" x14ac:dyDescent="0.3">
      <c r="A72" s="1">
        <f t="shared" si="2"/>
        <v>71</v>
      </c>
      <c r="B72" s="2" t="s">
        <v>122</v>
      </c>
      <c r="C72" s="2" t="s">
        <v>66</v>
      </c>
      <c r="D72" s="2" t="s">
        <v>183</v>
      </c>
      <c r="E72" s="2" t="s">
        <v>141</v>
      </c>
    </row>
  </sheetData>
  <pageMargins left="0.75" right="0.75" top="1" bottom="1" header="0.5" footer="0.5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Santiago Puerta Florez</cp:lastModifiedBy>
  <dcterms:created xsi:type="dcterms:W3CDTF">2024-01-29T03:19:56Z</dcterms:created>
  <dcterms:modified xsi:type="dcterms:W3CDTF">2024-01-30T16:35:43Z</dcterms:modified>
</cp:coreProperties>
</file>